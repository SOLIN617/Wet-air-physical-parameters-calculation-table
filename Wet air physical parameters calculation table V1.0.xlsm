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songlin\Desktop\"/>
    </mc:Choice>
  </mc:AlternateContent>
  <xr:revisionPtr revIDLastSave="0" documentId="13_ncr:1_{FB662148-1281-4C81-8998-8812E1BDEC20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计算例子" sheetId="8" r:id="rId1"/>
    <sheet name="帮助说明" sheetId="3" r:id="rId2"/>
    <sheet name="数学模型" sheetId="10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8" l="1" a="1"/>
  <c r="G6" i="8" a="1"/>
  <c r="D6" i="8" a="1"/>
  <c r="E6" i="8" a="1"/>
  <c r="F6" i="8" a="1"/>
  <c r="C5" i="8" a="1"/>
  <c r="E5" i="8" a="1"/>
  <c r="G5" i="8" a="1"/>
  <c r="D5" i="8" a="1"/>
  <c r="F5" i="8" a="1"/>
  <c r="C7" i="8" a="1"/>
  <c r="D7" i="8" a="1"/>
  <c r="E7" i="8" a="1"/>
  <c r="F7" i="8" a="1"/>
  <c r="G7" i="8" a="1"/>
  <c r="C4" i="8" a="1"/>
  <c r="D4" i="8" a="1"/>
  <c r="E4" i="8" a="1"/>
  <c r="F4" i="8" a="1"/>
  <c r="G4" i="8" a="1"/>
  <c r="G3" i="8" a="1"/>
  <c r="F3" i="8" a="1"/>
  <c r="C3" i="8" a="1"/>
  <c r="E3" i="8" a="1"/>
  <c r="D3" i="8" a="1"/>
  <c r="F6" i="8" l="1"/>
  <c r="E6" i="8"/>
  <c r="D6" i="8"/>
  <c r="G6" i="8"/>
  <c r="C6" i="8"/>
  <c r="F5" i="8"/>
  <c r="D5" i="8"/>
  <c r="G5" i="8"/>
  <c r="E5" i="8"/>
  <c r="C5" i="8"/>
  <c r="G7" i="8"/>
  <c r="F7" i="8"/>
  <c r="E7" i="8"/>
  <c r="D7" i="8"/>
  <c r="C7" i="8"/>
  <c r="G4" i="8"/>
  <c r="F4" i="8"/>
  <c r="E4" i="8"/>
  <c r="D4" i="8"/>
  <c r="C4" i="8"/>
  <c r="G3" i="8"/>
  <c r="F3" i="8"/>
  <c r="C3" i="8"/>
  <c r="E3" i="8"/>
  <c r="D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<sst xmlns="http://schemas.openxmlformats.org/spreadsheetml/2006/main" count="60" uniqueCount="58">
  <si>
    <t>干球温度</t>
    <phoneticPr fontId="1" type="noConversion"/>
  </si>
  <si>
    <t>湿球温度</t>
    <phoneticPr fontId="1" type="noConversion"/>
  </si>
  <si>
    <t>比焓</t>
    <phoneticPr fontId="1" type="noConversion"/>
  </si>
  <si>
    <t>相对湿度</t>
    <phoneticPr fontId="1" type="noConversion"/>
  </si>
  <si>
    <t>含湿量</t>
    <phoneticPr fontId="1" type="noConversion"/>
  </si>
  <si>
    <t>密度</t>
    <phoneticPr fontId="1" type="noConversion"/>
  </si>
  <si>
    <t>露点温度</t>
    <phoneticPr fontId="1" type="noConversion"/>
  </si>
  <si>
    <t>湿空气物性参数计算程序帮助说明</t>
  </si>
  <si>
    <t>概述</t>
  </si>
  <si>
    <t>本程序用于计算湿空气的多种物性参数，包括比焓、密度、比热容、比容、露点温度、湿球温度、含湿量和相对湿度。用户可以根据已知的任意两个参数（干球温度、湿球温度、相对湿度）计算出所需的物理量。</t>
  </si>
  <si>
    <t>函数说明</t>
  </si>
  <si>
    <r>
      <t xml:space="preserve">1. </t>
    </r>
    <r>
      <rPr>
        <b/>
        <sz val="10"/>
        <color theme="1"/>
        <rFont val="Arial Unicode MS"/>
        <family val="2"/>
      </rPr>
      <t>AirProperties(propertyType As String, param1 As String, value1 As Double, param2 As String, value2 As Double) As Double</t>
    </r>
  </si>
  <si>
    <r>
      <t>功能</t>
    </r>
    <r>
      <rPr>
        <sz val="11"/>
        <color theme="1"/>
        <rFont val="宋体"/>
        <family val="3"/>
        <charset val="134"/>
        <scheme val="minor"/>
      </rPr>
      <t>: 根据输入的两个参数计算所需的湿空气物性参数。</t>
    </r>
  </si>
  <si>
    <r>
      <t>参数</t>
    </r>
    <r>
      <rPr>
        <sz val="11"/>
        <color theme="1"/>
        <rFont val="宋体"/>
        <family val="3"/>
        <charset val="134"/>
        <scheme val="minor"/>
      </rPr>
      <t>:</t>
    </r>
  </si>
  <si>
    <r>
      <t>propertyType</t>
    </r>
    <r>
      <rPr>
        <sz val="11"/>
        <color theme="1"/>
        <rFont val="宋体"/>
        <family val="3"/>
        <charset val="134"/>
        <scheme val="minor"/>
      </rPr>
      <t>: 要计算的物性参数类型（字符串）。有效值包括：</t>
    </r>
  </si>
  <si>
    <r>
      <t>"Enthalpy"</t>
    </r>
    <r>
      <rPr>
        <sz val="11"/>
        <color theme="1"/>
        <rFont val="宋体"/>
        <family val="3"/>
        <charset val="134"/>
        <scheme val="minor"/>
      </rPr>
      <t>: 比焓 (kJ/kg)</t>
    </r>
  </si>
  <si>
    <r>
      <t>"Density"</t>
    </r>
    <r>
      <rPr>
        <sz val="11"/>
        <color theme="1"/>
        <rFont val="宋体"/>
        <family val="3"/>
        <charset val="134"/>
        <scheme val="minor"/>
      </rPr>
      <t>: 湿空气密度 (kg/m³)</t>
    </r>
  </si>
  <si>
    <r>
      <t>"SpecificHeat"</t>
    </r>
    <r>
      <rPr>
        <sz val="11"/>
        <color theme="1"/>
        <rFont val="宋体"/>
        <family val="3"/>
        <charset val="134"/>
        <scheme val="minor"/>
      </rPr>
      <t>: 比热容 (kJ/kg·K)</t>
    </r>
  </si>
  <si>
    <r>
      <t>"SpecificVolume"</t>
    </r>
    <r>
      <rPr>
        <sz val="11"/>
        <color theme="1"/>
        <rFont val="宋体"/>
        <family val="3"/>
        <charset val="134"/>
        <scheme val="minor"/>
      </rPr>
      <t>: 比容 (m³/kg)</t>
    </r>
  </si>
  <si>
    <r>
      <t>"DewPoint"</t>
    </r>
    <r>
      <rPr>
        <sz val="11"/>
        <color theme="1"/>
        <rFont val="宋体"/>
        <family val="3"/>
        <charset val="134"/>
        <scheme val="minor"/>
      </rPr>
      <t>: 露点温度 (°C)</t>
    </r>
  </si>
  <si>
    <r>
      <t>"WetBulbTemperature"</t>
    </r>
    <r>
      <rPr>
        <sz val="11"/>
        <color theme="1"/>
        <rFont val="宋体"/>
        <family val="3"/>
        <charset val="134"/>
        <scheme val="minor"/>
      </rPr>
      <t>: 湿球温度 (°C)</t>
    </r>
  </si>
  <si>
    <r>
      <t>"HumidityRatio"</t>
    </r>
    <r>
      <rPr>
        <sz val="11"/>
        <color theme="1"/>
        <rFont val="宋体"/>
        <family val="3"/>
        <charset val="134"/>
        <scheme val="minor"/>
      </rPr>
      <t>: 含湿量 (kg水蒸气/kg干空气)</t>
    </r>
  </si>
  <si>
    <r>
      <t>"RH"</t>
    </r>
    <r>
      <rPr>
        <sz val="11"/>
        <color theme="1"/>
        <rFont val="宋体"/>
        <family val="3"/>
        <charset val="134"/>
        <scheme val="minor"/>
      </rPr>
      <t>: 相对湿度 (%)</t>
    </r>
  </si>
  <si>
    <r>
      <t>param1</t>
    </r>
    <r>
      <rPr>
        <sz val="11"/>
        <color theme="1"/>
        <rFont val="宋体"/>
        <family val="3"/>
        <charset val="134"/>
        <scheme val="minor"/>
      </rPr>
      <t xml:space="preserve">: 第一个已知参数类型（字符串）。可选值为 </t>
    </r>
    <r>
      <rPr>
        <sz val="10"/>
        <color theme="1"/>
        <rFont val="Arial Unicode MS"/>
        <family val="2"/>
      </rPr>
      <t>"T_dry"</t>
    </r>
    <r>
      <rPr>
        <sz val="11"/>
        <color theme="1"/>
        <rFont val="宋体"/>
        <family val="3"/>
        <charset val="134"/>
        <scheme val="minor"/>
      </rPr>
      <t>（干球温度）、</t>
    </r>
    <r>
      <rPr>
        <sz val="10"/>
        <color theme="1"/>
        <rFont val="Arial Unicode MS"/>
        <family val="2"/>
      </rPr>
      <t>"T_wet"</t>
    </r>
    <r>
      <rPr>
        <sz val="11"/>
        <color theme="1"/>
        <rFont val="宋体"/>
        <family val="3"/>
        <charset val="134"/>
        <scheme val="minor"/>
      </rPr>
      <t>（湿球温度）、</t>
    </r>
    <r>
      <rPr>
        <sz val="10"/>
        <color theme="1"/>
        <rFont val="Arial Unicode MS"/>
        <family val="2"/>
      </rPr>
      <t>"RH"</t>
    </r>
    <r>
      <rPr>
        <sz val="11"/>
        <color theme="1"/>
        <rFont val="宋体"/>
        <family val="3"/>
        <charset val="134"/>
        <scheme val="minor"/>
      </rPr>
      <t>（相对湿度）。</t>
    </r>
  </si>
  <si>
    <r>
      <t>value1</t>
    </r>
    <r>
      <rPr>
        <sz val="11"/>
        <color theme="1"/>
        <rFont val="宋体"/>
        <family val="3"/>
        <charset val="134"/>
        <scheme val="minor"/>
      </rPr>
      <t>: 第一个已知参数的数值（Double）。</t>
    </r>
  </si>
  <si>
    <r>
      <t>param2</t>
    </r>
    <r>
      <rPr>
        <sz val="11"/>
        <color theme="1"/>
        <rFont val="宋体"/>
        <family val="3"/>
        <charset val="134"/>
        <scheme val="minor"/>
      </rPr>
      <t xml:space="preserve">: 第二个已知参数类型（字符串），同样可选值为 </t>
    </r>
    <r>
      <rPr>
        <sz val="10"/>
        <color theme="1"/>
        <rFont val="Arial Unicode MS"/>
        <family val="2"/>
      </rPr>
      <t>"T_dry"</t>
    </r>
    <r>
      <rPr>
        <sz val="11"/>
        <color theme="1"/>
        <rFont val="宋体"/>
        <family val="3"/>
        <charset val="134"/>
        <scheme val="minor"/>
      </rPr>
      <t>、</t>
    </r>
    <r>
      <rPr>
        <sz val="10"/>
        <color theme="1"/>
        <rFont val="Arial Unicode MS"/>
        <family val="2"/>
      </rPr>
      <t>"T_wet"</t>
    </r>
    <r>
      <rPr>
        <sz val="11"/>
        <color theme="1"/>
        <rFont val="宋体"/>
        <family val="3"/>
        <charset val="134"/>
        <scheme val="minor"/>
      </rPr>
      <t xml:space="preserve"> 或 </t>
    </r>
    <r>
      <rPr>
        <sz val="10"/>
        <color theme="1"/>
        <rFont val="Arial Unicode MS"/>
        <family val="2"/>
      </rPr>
      <t>"RH"</t>
    </r>
    <r>
      <rPr>
        <sz val="11"/>
        <color theme="1"/>
        <rFont val="宋体"/>
        <family val="3"/>
        <charset val="134"/>
        <scheme val="minor"/>
      </rPr>
      <t>。</t>
    </r>
  </si>
  <si>
    <r>
      <t>value2</t>
    </r>
    <r>
      <rPr>
        <sz val="11"/>
        <color theme="1"/>
        <rFont val="宋体"/>
        <family val="3"/>
        <charset val="134"/>
        <scheme val="minor"/>
      </rPr>
      <t>: 第二个已知参数的数值（Double）。</t>
    </r>
  </si>
  <si>
    <r>
      <t>返回值</t>
    </r>
    <r>
      <rPr>
        <sz val="11"/>
        <color theme="1"/>
        <rFont val="宋体"/>
        <family val="3"/>
        <charset val="134"/>
        <scheme val="minor"/>
      </rPr>
      <t>: 根据所请求的物性参数返回相应的数值。</t>
    </r>
  </si>
  <si>
    <t>2. 辅助函数</t>
  </si>
  <si>
    <t>以下是用于计算特定物性参数的辅助函数：</t>
  </si>
  <si>
    <r>
      <t>AirDensity(Tdb As Double, Twb As Double) As Double</t>
    </r>
    <r>
      <rPr>
        <sz val="11"/>
        <color theme="1"/>
        <rFont val="宋体"/>
        <family val="3"/>
        <charset val="134"/>
        <scheme val="minor"/>
      </rPr>
      <t>: 计算湿空气密度。</t>
    </r>
  </si>
  <si>
    <r>
      <t>AirSpecificHeat(Tdb As Double, Twb As Double) As Double</t>
    </r>
    <r>
      <rPr>
        <sz val="11"/>
        <color theme="1"/>
        <rFont val="宋体"/>
        <family val="3"/>
        <charset val="134"/>
        <scheme val="minor"/>
      </rPr>
      <t>: 计算湿空气比热容。</t>
    </r>
  </si>
  <si>
    <r>
      <t>AirSpecificVolume(Tdb As Double, Twb As Double) As Double</t>
    </r>
    <r>
      <rPr>
        <sz val="11"/>
        <color theme="1"/>
        <rFont val="宋体"/>
        <family val="3"/>
        <charset val="134"/>
        <scheme val="minor"/>
      </rPr>
      <t>: 计算湿空气比容。</t>
    </r>
  </si>
  <si>
    <r>
      <t>AirDewPoint(Tdb As Double, Twb As Double) As Double</t>
    </r>
    <r>
      <rPr>
        <sz val="11"/>
        <color theme="1"/>
        <rFont val="宋体"/>
        <family val="3"/>
        <charset val="134"/>
        <scheme val="minor"/>
      </rPr>
      <t>: 计算露点温度。</t>
    </r>
  </si>
  <si>
    <r>
      <t>AirWaterVaporPressure(Tdb As Double, Twb As Double) As Double</t>
    </r>
    <r>
      <rPr>
        <sz val="11"/>
        <color theme="1"/>
        <rFont val="宋体"/>
        <family val="3"/>
        <charset val="134"/>
        <scheme val="minor"/>
      </rPr>
      <t>: 计算水蒸气分压力。</t>
    </r>
  </si>
  <si>
    <r>
      <t>AirRelativeHumidity(Tdb As Double, Twb As Double) As Double</t>
    </r>
    <r>
      <rPr>
        <sz val="11"/>
        <color theme="1"/>
        <rFont val="宋体"/>
        <family val="3"/>
        <charset val="134"/>
        <scheme val="minor"/>
      </rPr>
      <t>: 计算相对湿度。</t>
    </r>
  </si>
  <si>
    <r>
      <t>AirHumidityRatio(Tdb As Double, Twb As Double) As Double</t>
    </r>
    <r>
      <rPr>
        <sz val="11"/>
        <color theme="1"/>
        <rFont val="宋体"/>
        <family val="3"/>
        <charset val="134"/>
        <scheme val="minor"/>
      </rPr>
      <t>: 计算含湿量。</t>
    </r>
  </si>
  <si>
    <r>
      <t>AirWetBulbTemperature(Tdb As Double, RH As Double) As Double</t>
    </r>
    <r>
      <rPr>
        <sz val="11"/>
        <color theme="1"/>
        <rFont val="宋体"/>
        <family val="3"/>
        <charset val="134"/>
        <scheme val="minor"/>
      </rPr>
      <t>: 根据干球温度和相对湿度计算湿球温度。</t>
    </r>
  </si>
  <si>
    <r>
      <t>AirDryBulbTemperature(Twb As Double, RH As Double) As Double</t>
    </r>
    <r>
      <rPr>
        <sz val="11"/>
        <color theme="1"/>
        <rFont val="宋体"/>
        <family val="3"/>
        <charset val="134"/>
        <scheme val="minor"/>
      </rPr>
      <t>: 根据湿球温度和相对湿度计算干球温度。</t>
    </r>
  </si>
  <si>
    <t>使用示例</t>
  </si>
  <si>
    <t>注意事项</t>
  </si>
  <si>
    <t>确保输入的单元格包含有效的数值，且格式正确。</t>
  </si>
  <si>
    <t>输入的参数名称必须用双引号括起来，确保拼写正确。</t>
  </si>
  <si>
    <r>
      <t xml:space="preserve">如果输入参数不符合要求，函数将返回 </t>
    </r>
    <r>
      <rPr>
        <sz val="10"/>
        <color theme="1"/>
        <rFont val="Arial Unicode MS"/>
        <family val="2"/>
      </rPr>
      <t>#VALUE!</t>
    </r>
    <r>
      <rPr>
        <sz val="11"/>
        <color theme="1"/>
        <rFont val="宋体"/>
        <family val="3"/>
        <charset val="134"/>
        <scheme val="minor"/>
      </rPr>
      <t xml:space="preserve"> 错误。</t>
    </r>
  </si>
  <si>
    <t>常见问题</t>
  </si>
  <si>
    <t>Q: 输入有效，但仍返回错误。</t>
  </si>
  <si>
    <r>
      <t>A:</t>
    </r>
    <r>
      <rPr>
        <sz val="11"/>
        <color theme="1"/>
        <rFont val="宋体"/>
        <family val="3"/>
        <charset val="134"/>
        <scheme val="minor"/>
      </rPr>
      <t xml:space="preserve"> 请检查输入参数类型和单元格格式，确保它们都是数字。</t>
    </r>
  </si>
  <si>
    <t>Q: 如何确认返回的结果是否正确？</t>
  </si>
  <si>
    <r>
      <t>A:</t>
    </r>
    <r>
      <rPr>
        <sz val="11"/>
        <color theme="1"/>
        <rFont val="宋体"/>
        <family val="3"/>
        <charset val="134"/>
        <scheme val="minor"/>
      </rPr>
      <t xml:space="preserve"> 可以手动计算简单的例子，或者使用已知的湿空气物性表进行对比。</t>
    </r>
  </si>
  <si>
    <t>联系信息</t>
  </si>
  <si>
    <t>如需进一步支持或有疑问，请联系开发者。</t>
    <phoneticPr fontId="1" type="noConversion"/>
  </si>
  <si>
    <t>作者：黄松林</t>
    <phoneticPr fontId="1" type="noConversion"/>
  </si>
  <si>
    <t>邮箱：794129441@qq.com</t>
    <phoneticPr fontId="1" type="noConversion"/>
  </si>
  <si>
    <t>℃</t>
    <phoneticPr fontId="1" type="noConversion"/>
  </si>
  <si>
    <t>%</t>
    <phoneticPr fontId="1" type="noConversion"/>
  </si>
  <si>
    <t>kj/kg</t>
    <phoneticPr fontId="1" type="noConversion"/>
  </si>
  <si>
    <t>kg/m3</t>
    <phoneticPr fontId="1" type="noConversion"/>
  </si>
  <si>
    <t>kg/kg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</si>
</sst>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b/>
      <sz val="13.5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Arial Unicode MS"/>
      <family val="2"/>
    </font>
    <font>
      <b/>
      <sz val="10"/>
      <color theme="1"/>
      <name val="Arial Unicode MS"/>
      <family val="2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0" fillId="0" borderId="3" xfId="0" applyBorder="1">
      <alignment vertical="center"/>
    </xf>
    <xf numFmtId="0" fontId="3" fillId="0" borderId="3" xfId="0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4" fillId="0" borderId="5" xfId="0" applyFont="1" applyBorder="1">
      <alignment vertical="center"/>
    </xf>
    <xf numFmtId="0" fontId="4" fillId="0" borderId="0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0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0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5" xfId="0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0" fontId="7" fillId="0" borderId="5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left" vertical="center" indent="1"/>
    </xf>
    <xf numFmtId="0" fontId="7" fillId="0" borderId="5" xfId="0" applyFont="1" applyBorder="1" applyAlignment="1">
      <alignment horizontal="left" vertical="center" indent="2"/>
    </xf>
    <xf numFmtId="0" fontId="7" fillId="0" borderId="0" xfId="0" applyFont="1" applyBorder="1" applyAlignment="1">
      <alignment horizontal="left" vertical="center" indent="2"/>
    </xf>
    <xf numFmtId="0" fontId="6" fillId="0" borderId="5" xfId="0" applyFont="1" applyBorder="1" applyAlignment="1">
      <alignment horizontal="left" vertical="center" indent="1"/>
    </xf>
    <xf numFmtId="0" fontId="6" fillId="0" borderId="0" xfId="0" applyFont="1" applyBorder="1" applyAlignment="1">
      <alignment horizontal="left" vertical="center" indent="1"/>
    </xf>
    <xf numFmtId="0" fontId="7" fillId="0" borderId="5" xfId="0" applyFont="1" applyBorder="1">
      <alignment vertical="center"/>
    </xf>
    <xf numFmtId="0" fontId="7" fillId="0" borderId="0" xfId="0" applyFont="1" applyBorder="1">
      <alignment vertical="center"/>
    </xf>
    <xf numFmtId="0" fontId="2" fillId="0" borderId="5" xfId="0" applyFont="1" applyBorder="1" applyAlignment="1">
      <alignment horizontal="left" vertical="center" indent="1"/>
    </xf>
    <xf numFmtId="0" fontId="2" fillId="0" borderId="0" xfId="0" applyFont="1" applyBorder="1" applyAlignment="1">
      <alignment horizontal="left" vertical="center" indent="1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7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51</xdr:row>
      <xdr:rowOff>0</xdr:rowOff>
    </xdr:from>
    <xdr:to>
      <xdr:col>8</xdr:col>
      <xdr:colOff>529158</xdr:colOff>
      <xdr:row>67</xdr:row>
      <xdr:rowOff>14880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2CECB49-24C2-0217-5033-A0E62E1DE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372600"/>
          <a:ext cx="5741238" cy="28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68</xdr:row>
      <xdr:rowOff>0</xdr:rowOff>
    </xdr:from>
    <xdr:to>
      <xdr:col>8</xdr:col>
      <xdr:colOff>518161</xdr:colOff>
      <xdr:row>80</xdr:row>
      <xdr:rowOff>68911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1F303C6-BB89-32C4-D2C1-771686E00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2416790"/>
          <a:ext cx="5730240" cy="22177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156667</xdr:colOff>
      <xdr:row>36</xdr:row>
      <xdr:rowOff>156210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9282BC6-53E5-61DB-8CD0-0A5B0F285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7817" b="3636"/>
        <a:stretch/>
      </xdr:blipFill>
      <xdr:spPr>
        <a:xfrm>
          <a:off x="0" y="0"/>
          <a:ext cx="5277307" cy="660273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7</xdr:col>
      <xdr:colOff>559440</xdr:colOff>
      <xdr:row>63</xdr:row>
      <xdr:rowOff>24840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B66B1C38-81C9-83A9-BFD5-9695C791C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625590"/>
          <a:ext cx="5040000" cy="46806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C1E6B-3B73-43DD-BB5B-AA873CBAD990}">
  <sheetPr codeName="Sheet1"/>
  <dimension ref="A1:G7"/>
  <sheetViews>
    <sheetView tabSelected="1" zoomScaleNormal="100" workbookViewId="0">
      <selection activeCell="K10" sqref="K10"/>
    </sheetView>
  </sheetViews>
  <sheetFormatPr defaultRowHeight="14.1"/>
  <cols>
    <col min="4" max="4" width="14.1015625" customWidth="1"/>
    <col min="5" max="5" width="10.1015625" customWidth="1"/>
  </cols>
  <sheetData>
    <row r="1" spans="1:7" s="1" customFormat="1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G1" s="2" t="s">
        <v>4</v>
      </c>
    </row>
    <row r="2" spans="1:7" s="1" customFormat="1">
      <c r="A2" s="2" t="s">
        <v>53</v>
      </c>
      <c r="B2" s="2" t="s">
        <v>53</v>
      </c>
      <c r="C2" s="2" t="s">
        <v>54</v>
      </c>
      <c r="D2" s="2" t="s">
        <v>55</v>
      </c>
      <c r="E2" s="2" t="s">
        <v>56</v>
      </c>
      <c r="F2" s="2" t="s">
        <v>53</v>
      </c>
      <c r="G2" s="2" t="s">
        <v>57</v>
      </c>
    </row>
    <row r="3" spans="1:7">
      <c r="A3" s="3">
        <v>45</v>
      </c>
      <c r="B3" s="3">
        <v>35</v>
      </c>
      <c r="C3" s="4" cm="1">
        <f t="array" ref="C3">AirProperties("RH", "T_dry", A3, "T_wet", B3)</f>
        <v>51.989759191047263</v>
      </c>
      <c r="D3" s="4" cm="1">
        <f t="array" ref="D3">AirProperties("Enthalpy", "T_dry", A3, "T_wet", B3)</f>
        <v>128.32098527678747</v>
      </c>
      <c r="E3" s="4" cm="1">
        <f t="array" ref="E3">AirProperties("Density", "T_dry", A3, "T_wet", B3)</f>
        <v>1.0549472087748917</v>
      </c>
      <c r="F3" s="4" cm="1">
        <f t="array" ref="F3">AirProperties("DewPoint", "T_dry", A3, "T_wet", B3)</f>
        <v>32.853632918670876</v>
      </c>
      <c r="G3" s="4" cm="1">
        <f t="array" ref="G3">AirProperties("HumidityRatio", "T_dry", A3, "T_wet", B3)*1000</f>
        <v>32.162567273102638</v>
      </c>
    </row>
    <row r="4" spans="1:7">
      <c r="A4" s="3">
        <v>45</v>
      </c>
      <c r="B4" s="3">
        <v>30</v>
      </c>
      <c r="C4" s="4" cm="1">
        <f t="array" ref="C4">AirProperties("RH", "T_dry", A4, "T_wet", B4)</f>
        <v>34.153257881733978</v>
      </c>
      <c r="D4" s="4" cm="1">
        <f t="array" ref="D4">AirProperties("Enthalpy", "T_dry", A4, "T_wet", B4)</f>
        <v>98.877098515830426</v>
      </c>
      <c r="E4" s="4" cm="1">
        <f t="array" ref="E4">AirProperties("Density", "T_dry", A4, "T_wet", B4)</f>
        <v>1.0736628451939922</v>
      </c>
      <c r="F4" s="4" cm="1">
        <f t="array" ref="F4">AirProperties("DewPoint", "T_dry", A4, "T_wet", B4)</f>
        <v>25.583811311143823</v>
      </c>
      <c r="G4" s="4" cm="1">
        <f t="array" ref="G4">AirProperties("HumidityRatio", "T_dry", A4, "T_wet", B4)*1000</f>
        <v>20.760041636894705</v>
      </c>
    </row>
    <row r="5" spans="1:7">
      <c r="A5" s="3">
        <v>-10</v>
      </c>
      <c r="B5" s="3">
        <v>-11</v>
      </c>
      <c r="C5" s="4" cm="1">
        <f t="array" ref="C5">AirProperties("RH", "T_dry", A5, "T_wet", B5)</f>
        <v>69.664598926073637</v>
      </c>
      <c r="D5" s="4" cm="1">
        <f t="array" ref="D5">AirProperties("Enthalpy", "T_dry", A5, "T_wet", B5)</f>
        <v>-7.0203713777059269</v>
      </c>
      <c r="E5" s="4" cm="1">
        <f t="array" ref="E5">AirProperties("Density", "T_dry", A5, "T_wet", B5)</f>
        <v>1.3387568882209224</v>
      </c>
      <c r="F5" s="4" cm="1">
        <f t="array" ref="F5">AirProperties("DewPoint", "T_dry", A5, "T_wet", B5)</f>
        <v>-14.536903253670507</v>
      </c>
      <c r="G5" s="4" cm="1">
        <f t="array" ref="G5">AirProperties("HumidityRatio", "T_dry", A5, "T_wet", B5)*1000</f>
        <v>1.2242004963024118</v>
      </c>
    </row>
    <row r="6" spans="1:7">
      <c r="A6" s="3">
        <v>-10</v>
      </c>
      <c r="B6" s="3">
        <v>-12.4</v>
      </c>
      <c r="C6" s="4" cm="1">
        <f t="array" ref="C6">AirProperties("RH", "T_dry", A6, "T_wet", B6)</f>
        <v>28.126985385093402</v>
      </c>
      <c r="D6" s="4" cm="1">
        <f t="array" ref="D6">AirProperties("Enthalpy", "T_dry", A6, "T_wet", B6)</f>
        <v>-8.8341926642442203</v>
      </c>
      <c r="E6" s="4" cm="1">
        <f t="array" ref="E6">AirProperties("Density", "T_dry", A6, "T_wet", B6)</f>
        <v>1.3403280310821459</v>
      </c>
      <c r="F6" s="4" cm="1">
        <f t="array" ref="F6">AirProperties("DewPoint", "T_dry", A6, "T_wet", B6)</f>
        <v>-25.081929214507081</v>
      </c>
      <c r="G6" s="4" cm="1">
        <f t="array" ref="G6">AirProperties("HumidityRatio", "T_dry", A6, "T_wet", B6)*1000</f>
        <v>0.49368989941633151</v>
      </c>
    </row>
    <row r="7" spans="1:7">
      <c r="A7" s="3">
        <v>-12</v>
      </c>
      <c r="B7" s="3">
        <v>-14</v>
      </c>
      <c r="C7" s="4" cm="1">
        <f t="array" ref="C7">AirProperties("RH", "T_dry", A7, "T_wet", B7)</f>
        <v>31.856250575567149</v>
      </c>
      <c r="D7" s="4" cm="1">
        <f t="array" ref="D7">AirProperties("Enthalpy", "T_dry", A7, "T_wet", B7)</f>
        <v>-10.890754062744785</v>
      </c>
      <c r="E7" s="4" cm="1">
        <f t="array" ref="E7">AirProperties("Density", "T_dry", A7, "T_wet", B7)</f>
        <v>1.3506302833035067</v>
      </c>
      <c r="F7" s="4" cm="1">
        <f t="array" ref="F7">AirProperties("DewPoint", "T_dry", A7, "T_wet", B7)</f>
        <v>-25.475442963851378</v>
      </c>
      <c r="G7" s="4" cm="1">
        <f t="array" ref="G7">AirProperties("HumidityRatio", "T_dry", A7, "T_wet", B7)*1000</f>
        <v>0.47643563902297181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T102"/>
  <sheetViews>
    <sheetView showGridLines="0" topLeftCell="A88" workbookViewId="0">
      <selection activeCell="T9" sqref="T9"/>
    </sheetView>
  </sheetViews>
  <sheetFormatPr defaultColWidth="9" defaultRowHeight="14.1"/>
  <cols>
    <col min="20" max="20" width="12.89453125" customWidth="1"/>
  </cols>
  <sheetData>
    <row r="1" spans="1:20" ht="22.5">
      <c r="A1" s="5" t="s">
        <v>7</v>
      </c>
      <c r="B1" s="6"/>
      <c r="C1" s="6"/>
      <c r="D1" s="6"/>
      <c r="E1" s="6"/>
      <c r="F1" s="6"/>
      <c r="G1" s="6"/>
      <c r="H1" s="6"/>
      <c r="I1" s="6"/>
      <c r="J1" s="7"/>
      <c r="K1" s="6"/>
      <c r="L1" s="6"/>
      <c r="M1" s="6"/>
      <c r="N1" s="6"/>
      <c r="O1" s="6"/>
      <c r="P1" s="6"/>
      <c r="Q1" s="6"/>
      <c r="R1" s="6"/>
      <c r="S1" s="6"/>
      <c r="T1" s="8"/>
    </row>
    <row r="2" spans="1:20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1"/>
    </row>
    <row r="3" spans="1:20" ht="16.8">
      <c r="A3" s="12" t="s">
        <v>8</v>
      </c>
      <c r="B3" s="10"/>
      <c r="C3" s="10"/>
      <c r="D3" s="10"/>
      <c r="E3" s="10"/>
      <c r="F3" s="10"/>
      <c r="G3" s="10"/>
      <c r="H3" s="10"/>
      <c r="I3" s="10"/>
      <c r="J3" s="13"/>
      <c r="K3" s="10"/>
      <c r="L3" s="10"/>
      <c r="M3" s="10"/>
      <c r="N3" s="10"/>
      <c r="O3" s="10"/>
      <c r="P3" s="10"/>
      <c r="Q3" s="10"/>
      <c r="R3" s="10"/>
      <c r="S3" s="10"/>
      <c r="T3" s="11"/>
    </row>
    <row r="4" spans="1:20">
      <c r="A4" s="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</row>
    <row r="5" spans="1:20">
      <c r="A5" s="14" t="s">
        <v>9</v>
      </c>
      <c r="B5" s="10"/>
      <c r="C5" s="10"/>
      <c r="D5" s="10"/>
      <c r="E5" s="10"/>
      <c r="F5" s="10"/>
      <c r="G5" s="10"/>
      <c r="H5" s="10"/>
      <c r="I5" s="10"/>
      <c r="J5" s="15"/>
      <c r="K5" s="10"/>
      <c r="L5" s="10"/>
      <c r="M5" s="10"/>
      <c r="N5" s="10"/>
      <c r="O5" s="10"/>
      <c r="P5" s="10"/>
      <c r="Q5" s="10"/>
      <c r="R5" s="10"/>
      <c r="S5" s="10"/>
      <c r="T5" s="11"/>
    </row>
    <row r="6" spans="1:20">
      <c r="A6" s="9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1:20" ht="16.8">
      <c r="A7" s="12" t="s">
        <v>10</v>
      </c>
      <c r="B7" s="10"/>
      <c r="C7" s="10"/>
      <c r="D7" s="10"/>
      <c r="E7" s="10"/>
      <c r="F7" s="10"/>
      <c r="G7" s="10"/>
      <c r="H7" s="10"/>
      <c r="I7" s="10"/>
      <c r="J7" s="13"/>
      <c r="K7" s="10"/>
      <c r="L7" s="10"/>
      <c r="M7" s="10"/>
      <c r="N7" s="10"/>
      <c r="O7" s="10"/>
      <c r="P7" s="10"/>
      <c r="Q7" s="10"/>
      <c r="R7" s="10"/>
      <c r="S7" s="10"/>
      <c r="T7" s="11"/>
    </row>
    <row r="8" spans="1:20">
      <c r="A8" s="9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</row>
    <row r="9" spans="1:20" ht="15.3">
      <c r="A9" s="16" t="s">
        <v>11</v>
      </c>
      <c r="B9" s="10"/>
      <c r="C9" s="10"/>
      <c r="D9" s="10"/>
      <c r="E9" s="10"/>
      <c r="F9" s="10"/>
      <c r="G9" s="10"/>
      <c r="H9" s="10"/>
      <c r="I9" s="10"/>
      <c r="J9" s="17"/>
      <c r="K9" s="10"/>
      <c r="L9" s="10"/>
      <c r="M9" s="10"/>
      <c r="N9" s="10"/>
      <c r="O9" s="10"/>
      <c r="P9" s="10"/>
      <c r="Q9" s="10"/>
      <c r="R9" s="10"/>
      <c r="S9" s="10"/>
      <c r="T9" s="11"/>
    </row>
    <row r="10" spans="1:20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</row>
    <row r="11" spans="1:20">
      <c r="A11" s="18" t="s">
        <v>12</v>
      </c>
      <c r="B11" s="10"/>
      <c r="C11" s="10"/>
      <c r="D11" s="10"/>
      <c r="E11" s="10"/>
      <c r="F11" s="10"/>
      <c r="G11" s="10"/>
      <c r="H11" s="10"/>
      <c r="I11" s="10"/>
      <c r="J11" s="19"/>
      <c r="K11" s="10"/>
      <c r="L11" s="10"/>
      <c r="M11" s="10"/>
      <c r="N11" s="10"/>
      <c r="O11" s="10"/>
      <c r="P11" s="10"/>
      <c r="Q11" s="10"/>
      <c r="R11" s="10"/>
      <c r="S11" s="10"/>
      <c r="T11" s="11"/>
    </row>
    <row r="12" spans="1:20">
      <c r="A12" s="9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</row>
    <row r="13" spans="1:20">
      <c r="A13" s="18" t="s">
        <v>13</v>
      </c>
      <c r="B13" s="10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0"/>
      <c r="N13" s="10"/>
      <c r="O13" s="10"/>
      <c r="P13" s="10"/>
      <c r="Q13" s="10"/>
      <c r="R13" s="10"/>
      <c r="S13" s="10"/>
      <c r="T13" s="11"/>
    </row>
    <row r="14" spans="1:20">
      <c r="A14" s="20"/>
      <c r="B14" s="10"/>
      <c r="C14" s="10"/>
      <c r="D14" s="10"/>
      <c r="E14" s="10"/>
      <c r="F14" s="10"/>
      <c r="G14" s="10"/>
      <c r="H14" s="10"/>
      <c r="I14" s="10"/>
      <c r="J14" s="21"/>
      <c r="K14" s="10"/>
      <c r="L14" s="10"/>
      <c r="M14" s="10"/>
      <c r="N14" s="10"/>
      <c r="O14" s="10"/>
      <c r="P14" s="10"/>
      <c r="Q14" s="10"/>
      <c r="R14" s="10"/>
      <c r="S14" s="10"/>
      <c r="T14" s="11"/>
    </row>
    <row r="15" spans="1:20">
      <c r="A15" s="22" t="s">
        <v>14</v>
      </c>
      <c r="B15" s="10"/>
      <c r="C15" s="10"/>
      <c r="D15" s="10"/>
      <c r="E15" s="10"/>
      <c r="F15" s="10"/>
      <c r="G15" s="10"/>
      <c r="H15" s="10"/>
      <c r="I15" s="10"/>
      <c r="J15" s="23"/>
      <c r="K15" s="10"/>
      <c r="L15" s="10"/>
      <c r="M15" s="10"/>
      <c r="N15" s="10"/>
      <c r="O15" s="10"/>
      <c r="P15" s="10"/>
      <c r="Q15" s="10"/>
      <c r="R15" s="10"/>
      <c r="S15" s="10"/>
      <c r="T15" s="11"/>
    </row>
    <row r="16" spans="1:20">
      <c r="A16" s="20"/>
      <c r="B16" s="10"/>
      <c r="C16" s="10"/>
      <c r="D16" s="10"/>
      <c r="E16" s="10"/>
      <c r="F16" s="10"/>
      <c r="G16" s="10"/>
      <c r="H16" s="10"/>
      <c r="I16" s="10"/>
      <c r="J16" s="21"/>
      <c r="K16" s="10"/>
      <c r="L16" s="10"/>
      <c r="M16" s="10"/>
      <c r="N16" s="10"/>
      <c r="O16" s="10"/>
      <c r="P16" s="10"/>
      <c r="Q16" s="10"/>
      <c r="R16" s="10"/>
      <c r="S16" s="10"/>
      <c r="T16" s="11"/>
    </row>
    <row r="17" spans="1:20">
      <c r="A17" s="20"/>
      <c r="B17" s="10"/>
      <c r="C17" s="10"/>
      <c r="D17" s="10"/>
      <c r="E17" s="10"/>
      <c r="F17" s="10"/>
      <c r="G17" s="10"/>
      <c r="H17" s="10"/>
      <c r="I17" s="10"/>
      <c r="J17" s="21"/>
      <c r="K17" s="10"/>
      <c r="L17" s="10"/>
      <c r="M17" s="10"/>
      <c r="N17" s="10"/>
      <c r="O17" s="10"/>
      <c r="P17" s="10"/>
      <c r="Q17" s="10"/>
      <c r="R17" s="10"/>
      <c r="S17" s="10"/>
      <c r="T17" s="11"/>
    </row>
    <row r="18" spans="1:20">
      <c r="A18" s="24" t="s">
        <v>15</v>
      </c>
      <c r="B18" s="10"/>
      <c r="C18" s="10"/>
      <c r="D18" s="10"/>
      <c r="E18" s="10"/>
      <c r="F18" s="10"/>
      <c r="G18" s="10"/>
      <c r="H18" s="10"/>
      <c r="I18" s="10"/>
      <c r="J18" s="25"/>
      <c r="K18" s="10"/>
      <c r="L18" s="10"/>
      <c r="M18" s="10"/>
      <c r="N18" s="10"/>
      <c r="O18" s="10"/>
      <c r="P18" s="10"/>
      <c r="Q18" s="10"/>
      <c r="R18" s="10"/>
      <c r="S18" s="10"/>
      <c r="T18" s="11"/>
    </row>
    <row r="19" spans="1:20">
      <c r="A19" s="24" t="s">
        <v>16</v>
      </c>
      <c r="B19" s="10"/>
      <c r="C19" s="10"/>
      <c r="D19" s="10"/>
      <c r="E19" s="10"/>
      <c r="F19" s="10"/>
      <c r="G19" s="10"/>
      <c r="H19" s="10"/>
      <c r="I19" s="10"/>
      <c r="J19" s="25"/>
      <c r="K19" s="10"/>
      <c r="L19" s="10"/>
      <c r="M19" s="10"/>
      <c r="N19" s="10"/>
      <c r="O19" s="10"/>
      <c r="P19" s="10"/>
      <c r="Q19" s="10"/>
      <c r="R19" s="10"/>
      <c r="S19" s="10"/>
      <c r="T19" s="11"/>
    </row>
    <row r="20" spans="1:20">
      <c r="A20" s="24" t="s">
        <v>17</v>
      </c>
      <c r="B20" s="10"/>
      <c r="C20" s="10"/>
      <c r="D20" s="10"/>
      <c r="E20" s="10"/>
      <c r="F20" s="10"/>
      <c r="G20" s="10"/>
      <c r="H20" s="10"/>
      <c r="I20" s="10"/>
      <c r="J20" s="25"/>
      <c r="K20" s="10"/>
      <c r="L20" s="10"/>
      <c r="M20" s="10"/>
      <c r="N20" s="10"/>
      <c r="O20" s="10"/>
      <c r="P20" s="10"/>
      <c r="Q20" s="10"/>
      <c r="R20" s="10"/>
      <c r="S20" s="10"/>
      <c r="T20" s="11"/>
    </row>
    <row r="21" spans="1:20">
      <c r="A21" s="24" t="s">
        <v>18</v>
      </c>
      <c r="B21" s="10"/>
      <c r="C21" s="10"/>
      <c r="D21" s="10"/>
      <c r="E21" s="10"/>
      <c r="F21" s="10"/>
      <c r="G21" s="10"/>
      <c r="H21" s="10"/>
      <c r="I21" s="10"/>
      <c r="J21" s="25"/>
      <c r="K21" s="10"/>
      <c r="L21" s="10"/>
      <c r="M21" s="10"/>
      <c r="N21" s="10"/>
      <c r="O21" s="10"/>
      <c r="P21" s="10"/>
      <c r="Q21" s="10"/>
      <c r="R21" s="10"/>
      <c r="S21" s="10"/>
      <c r="T21" s="11"/>
    </row>
    <row r="22" spans="1:20">
      <c r="A22" s="24" t="s">
        <v>19</v>
      </c>
      <c r="B22" s="10"/>
      <c r="C22" s="10"/>
      <c r="D22" s="10"/>
      <c r="E22" s="10"/>
      <c r="F22" s="10"/>
      <c r="G22" s="10"/>
      <c r="H22" s="10"/>
      <c r="I22" s="10"/>
      <c r="J22" s="25"/>
      <c r="K22" s="10"/>
      <c r="L22" s="10"/>
      <c r="M22" s="10"/>
      <c r="N22" s="10"/>
      <c r="O22" s="10"/>
      <c r="P22" s="10"/>
      <c r="Q22" s="10"/>
      <c r="R22" s="10"/>
      <c r="S22" s="10"/>
      <c r="T22" s="11"/>
    </row>
    <row r="23" spans="1:20">
      <c r="A23" s="24" t="s">
        <v>20</v>
      </c>
      <c r="B23" s="10"/>
      <c r="C23" s="10"/>
      <c r="D23" s="10"/>
      <c r="E23" s="10"/>
      <c r="F23" s="10"/>
      <c r="G23" s="10"/>
      <c r="H23" s="10"/>
      <c r="I23" s="10"/>
      <c r="J23" s="25"/>
      <c r="K23" s="10"/>
      <c r="L23" s="10"/>
      <c r="M23" s="10"/>
      <c r="N23" s="10"/>
      <c r="O23" s="10"/>
      <c r="P23" s="10"/>
      <c r="Q23" s="10"/>
      <c r="R23" s="10"/>
      <c r="S23" s="10"/>
      <c r="T23" s="11"/>
    </row>
    <row r="24" spans="1:20">
      <c r="A24" s="24" t="s">
        <v>21</v>
      </c>
      <c r="B24" s="10"/>
      <c r="C24" s="10"/>
      <c r="D24" s="10"/>
      <c r="E24" s="10"/>
      <c r="F24" s="10"/>
      <c r="G24" s="10"/>
      <c r="H24" s="10"/>
      <c r="I24" s="10"/>
      <c r="J24" s="25"/>
      <c r="K24" s="10"/>
      <c r="L24" s="10"/>
      <c r="M24" s="10"/>
      <c r="N24" s="10"/>
      <c r="O24" s="10"/>
      <c r="P24" s="10"/>
      <c r="Q24" s="10"/>
      <c r="R24" s="10"/>
      <c r="S24" s="10"/>
      <c r="T24" s="11"/>
    </row>
    <row r="25" spans="1:20">
      <c r="A25" s="24" t="s">
        <v>22</v>
      </c>
      <c r="B25" s="10"/>
      <c r="C25" s="10"/>
      <c r="D25" s="10"/>
      <c r="E25" s="10"/>
      <c r="F25" s="10"/>
      <c r="G25" s="10"/>
      <c r="H25" s="10"/>
      <c r="I25" s="10"/>
      <c r="J25" s="25"/>
      <c r="K25" s="10"/>
      <c r="L25" s="10"/>
      <c r="M25" s="10"/>
      <c r="N25" s="10"/>
      <c r="O25" s="10"/>
      <c r="P25" s="10"/>
      <c r="Q25" s="10"/>
      <c r="R25" s="10"/>
      <c r="S25" s="10"/>
      <c r="T25" s="11"/>
    </row>
    <row r="26" spans="1:20">
      <c r="A26" s="20"/>
      <c r="B26" s="10"/>
      <c r="C26" s="10"/>
      <c r="D26" s="10"/>
      <c r="E26" s="10"/>
      <c r="F26" s="10"/>
      <c r="G26" s="10"/>
      <c r="H26" s="10"/>
      <c r="I26" s="10"/>
      <c r="J26" s="21"/>
      <c r="K26" s="10"/>
      <c r="L26" s="10"/>
      <c r="M26" s="10"/>
      <c r="N26" s="10"/>
      <c r="O26" s="10"/>
      <c r="P26" s="10"/>
      <c r="Q26" s="10"/>
      <c r="R26" s="10"/>
      <c r="S26" s="10"/>
      <c r="T26" s="11"/>
    </row>
    <row r="27" spans="1:20">
      <c r="A27" s="22" t="s">
        <v>23</v>
      </c>
      <c r="B27" s="10"/>
      <c r="C27" s="10"/>
      <c r="D27" s="10"/>
      <c r="E27" s="10"/>
      <c r="F27" s="10"/>
      <c r="G27" s="10"/>
      <c r="H27" s="10"/>
      <c r="I27" s="10"/>
      <c r="J27" s="23"/>
      <c r="K27" s="10"/>
      <c r="L27" s="10"/>
      <c r="M27" s="10"/>
      <c r="N27" s="10"/>
      <c r="O27" s="10"/>
      <c r="P27" s="10"/>
      <c r="Q27" s="10"/>
      <c r="R27" s="10"/>
      <c r="S27" s="10"/>
      <c r="T27" s="11"/>
    </row>
    <row r="28" spans="1:20">
      <c r="A28" s="20"/>
      <c r="B28" s="10"/>
      <c r="C28" s="10"/>
      <c r="D28" s="10"/>
      <c r="E28" s="10"/>
      <c r="F28" s="10"/>
      <c r="G28" s="10"/>
      <c r="H28" s="10"/>
      <c r="I28" s="10"/>
      <c r="J28" s="21"/>
      <c r="K28" s="10"/>
      <c r="L28" s="10"/>
      <c r="M28" s="10"/>
      <c r="N28" s="10"/>
      <c r="O28" s="10"/>
      <c r="P28" s="10"/>
      <c r="Q28" s="10"/>
      <c r="R28" s="10"/>
      <c r="S28" s="10"/>
      <c r="T28" s="11"/>
    </row>
    <row r="29" spans="1:20">
      <c r="A29" s="22" t="s">
        <v>24</v>
      </c>
      <c r="B29" s="10"/>
      <c r="C29" s="10"/>
      <c r="D29" s="10"/>
      <c r="E29" s="10"/>
      <c r="F29" s="10"/>
      <c r="G29" s="10"/>
      <c r="H29" s="10"/>
      <c r="I29" s="10"/>
      <c r="J29" s="23"/>
      <c r="K29" s="10"/>
      <c r="L29" s="10"/>
      <c r="M29" s="10"/>
      <c r="N29" s="10"/>
      <c r="O29" s="10"/>
      <c r="P29" s="10"/>
      <c r="Q29" s="10"/>
      <c r="R29" s="10"/>
      <c r="S29" s="10"/>
      <c r="T29" s="11"/>
    </row>
    <row r="30" spans="1:20">
      <c r="A30" s="20"/>
      <c r="B30" s="10"/>
      <c r="C30" s="10"/>
      <c r="D30" s="10"/>
      <c r="E30" s="10"/>
      <c r="F30" s="10"/>
      <c r="G30" s="10"/>
      <c r="H30" s="10"/>
      <c r="I30" s="10"/>
      <c r="J30" s="21"/>
      <c r="K30" s="10"/>
      <c r="L30" s="10"/>
      <c r="M30" s="10"/>
      <c r="N30" s="10"/>
      <c r="O30" s="10"/>
      <c r="P30" s="10"/>
      <c r="Q30" s="10"/>
      <c r="R30" s="10"/>
      <c r="S30" s="10"/>
      <c r="T30" s="11"/>
    </row>
    <row r="31" spans="1:20">
      <c r="A31" s="22" t="s">
        <v>25</v>
      </c>
      <c r="B31" s="10"/>
      <c r="C31" s="10"/>
      <c r="D31" s="10"/>
      <c r="E31" s="10"/>
      <c r="F31" s="10"/>
      <c r="G31" s="10"/>
      <c r="H31" s="10"/>
      <c r="I31" s="10"/>
      <c r="J31" s="23"/>
      <c r="K31" s="10"/>
      <c r="L31" s="10"/>
      <c r="M31" s="10"/>
      <c r="N31" s="10"/>
      <c r="O31" s="10"/>
      <c r="P31" s="10"/>
      <c r="Q31" s="10"/>
      <c r="R31" s="10"/>
      <c r="S31" s="10"/>
      <c r="T31" s="11"/>
    </row>
    <row r="32" spans="1:20">
      <c r="A32" s="20"/>
      <c r="B32" s="10"/>
      <c r="C32" s="10"/>
      <c r="D32" s="10"/>
      <c r="E32" s="10"/>
      <c r="F32" s="10"/>
      <c r="G32" s="10"/>
      <c r="H32" s="10"/>
      <c r="I32" s="10"/>
      <c r="J32" s="21"/>
      <c r="K32" s="10"/>
      <c r="L32" s="10"/>
      <c r="M32" s="10"/>
      <c r="N32" s="10"/>
      <c r="O32" s="10"/>
      <c r="P32" s="10"/>
      <c r="Q32" s="10"/>
      <c r="R32" s="10"/>
      <c r="S32" s="10"/>
      <c r="T32" s="11"/>
    </row>
    <row r="33" spans="1:20">
      <c r="A33" s="22" t="s">
        <v>26</v>
      </c>
      <c r="B33" s="10"/>
      <c r="C33" s="10"/>
      <c r="D33" s="10"/>
      <c r="E33" s="10"/>
      <c r="F33" s="10"/>
      <c r="G33" s="10"/>
      <c r="H33" s="10"/>
      <c r="I33" s="10"/>
      <c r="J33" s="23"/>
      <c r="K33" s="10"/>
      <c r="L33" s="10"/>
      <c r="M33" s="10"/>
      <c r="N33" s="10"/>
      <c r="O33" s="10"/>
      <c r="P33" s="10"/>
      <c r="Q33" s="10"/>
      <c r="R33" s="10"/>
      <c r="S33" s="10"/>
      <c r="T33" s="11"/>
    </row>
    <row r="34" spans="1:20">
      <c r="A34" s="9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1"/>
    </row>
    <row r="35" spans="1:20">
      <c r="A35" s="18" t="s">
        <v>27</v>
      </c>
      <c r="B35" s="10"/>
      <c r="C35" s="10"/>
      <c r="D35" s="10"/>
      <c r="E35" s="10"/>
      <c r="F35" s="10"/>
      <c r="G35" s="10"/>
      <c r="H35" s="10"/>
      <c r="I35" s="10"/>
      <c r="J35" s="19"/>
      <c r="K35" s="10"/>
      <c r="L35" s="10"/>
      <c r="M35" s="10"/>
      <c r="N35" s="10"/>
      <c r="O35" s="10"/>
      <c r="P35" s="10"/>
      <c r="Q35" s="10"/>
      <c r="R35" s="10"/>
      <c r="S35" s="10"/>
      <c r="T35" s="11"/>
    </row>
    <row r="36" spans="1:20">
      <c r="A36" s="9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1"/>
    </row>
    <row r="37" spans="1:20" ht="15.3">
      <c r="A37" s="16" t="s">
        <v>28</v>
      </c>
      <c r="B37" s="10"/>
      <c r="C37" s="10"/>
      <c r="D37" s="10"/>
      <c r="E37" s="10"/>
      <c r="F37" s="10"/>
      <c r="G37" s="10"/>
      <c r="H37" s="10"/>
      <c r="I37" s="10"/>
      <c r="J37" s="17"/>
      <c r="K37" s="10"/>
      <c r="L37" s="10"/>
      <c r="M37" s="10"/>
      <c r="N37" s="10"/>
      <c r="O37" s="10"/>
      <c r="P37" s="10"/>
      <c r="Q37" s="10"/>
      <c r="R37" s="10"/>
      <c r="S37" s="10"/>
      <c r="T37" s="11"/>
    </row>
    <row r="38" spans="1:20">
      <c r="A38" s="9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1"/>
    </row>
    <row r="39" spans="1:20">
      <c r="A39" s="14" t="s">
        <v>29</v>
      </c>
      <c r="B39" s="10"/>
      <c r="C39" s="10"/>
      <c r="D39" s="10"/>
      <c r="E39" s="10"/>
      <c r="F39" s="10"/>
      <c r="G39" s="10"/>
      <c r="H39" s="10"/>
      <c r="I39" s="10"/>
      <c r="J39" s="15"/>
      <c r="K39" s="10"/>
      <c r="L39" s="10"/>
      <c r="M39" s="10"/>
      <c r="N39" s="10"/>
      <c r="O39" s="10"/>
      <c r="P39" s="10"/>
      <c r="Q39" s="10"/>
      <c r="R39" s="10"/>
      <c r="S39" s="10"/>
      <c r="T39" s="11"/>
    </row>
    <row r="40" spans="1:20">
      <c r="A40" s="20"/>
      <c r="B40" s="10"/>
      <c r="C40" s="10"/>
      <c r="D40" s="10"/>
      <c r="E40" s="10"/>
      <c r="F40" s="10"/>
      <c r="G40" s="10"/>
      <c r="H40" s="10"/>
      <c r="I40" s="10"/>
      <c r="J40" s="21"/>
      <c r="K40" s="10"/>
      <c r="L40" s="10"/>
      <c r="M40" s="10"/>
      <c r="N40" s="10"/>
      <c r="O40" s="10"/>
      <c r="P40" s="10"/>
      <c r="Q40" s="10"/>
      <c r="R40" s="10"/>
      <c r="S40" s="10"/>
      <c r="T40" s="11"/>
    </row>
    <row r="41" spans="1:20">
      <c r="A41" s="22" t="s">
        <v>30</v>
      </c>
      <c r="B41" s="10"/>
      <c r="C41" s="10"/>
      <c r="D41" s="10"/>
      <c r="E41" s="10"/>
      <c r="F41" s="10"/>
      <c r="G41" s="10"/>
      <c r="H41" s="10"/>
      <c r="I41" s="10"/>
      <c r="J41" s="23"/>
      <c r="K41" s="10"/>
      <c r="L41" s="10"/>
      <c r="M41" s="10"/>
      <c r="N41" s="10"/>
      <c r="O41" s="10"/>
      <c r="P41" s="10"/>
      <c r="Q41" s="10"/>
      <c r="R41" s="10"/>
      <c r="S41" s="10"/>
      <c r="T41" s="11"/>
    </row>
    <row r="42" spans="1:20">
      <c r="A42" s="22" t="s">
        <v>31</v>
      </c>
      <c r="B42" s="10"/>
      <c r="C42" s="10"/>
      <c r="D42" s="10"/>
      <c r="E42" s="10"/>
      <c r="F42" s="10"/>
      <c r="G42" s="10"/>
      <c r="H42" s="10"/>
      <c r="I42" s="10"/>
      <c r="J42" s="23"/>
      <c r="K42" s="10"/>
      <c r="L42" s="10"/>
      <c r="M42" s="10"/>
      <c r="N42" s="10"/>
      <c r="O42" s="10"/>
      <c r="P42" s="10"/>
      <c r="Q42" s="10"/>
      <c r="R42" s="10"/>
      <c r="S42" s="10"/>
      <c r="T42" s="11"/>
    </row>
    <row r="43" spans="1:20">
      <c r="A43" s="22" t="s">
        <v>32</v>
      </c>
      <c r="B43" s="10"/>
      <c r="C43" s="10"/>
      <c r="D43" s="10"/>
      <c r="E43" s="10"/>
      <c r="F43" s="10"/>
      <c r="G43" s="10"/>
      <c r="H43" s="10"/>
      <c r="I43" s="10"/>
      <c r="J43" s="23"/>
      <c r="K43" s="10"/>
      <c r="L43" s="10"/>
      <c r="M43" s="10"/>
      <c r="N43" s="10"/>
      <c r="O43" s="10"/>
      <c r="P43" s="10"/>
      <c r="Q43" s="10"/>
      <c r="R43" s="10"/>
      <c r="S43" s="10"/>
      <c r="T43" s="11"/>
    </row>
    <row r="44" spans="1:20">
      <c r="A44" s="22" t="s">
        <v>33</v>
      </c>
      <c r="B44" s="10"/>
      <c r="C44" s="10"/>
      <c r="D44" s="10"/>
      <c r="E44" s="10"/>
      <c r="F44" s="10"/>
      <c r="G44" s="10"/>
      <c r="H44" s="10"/>
      <c r="I44" s="10"/>
      <c r="J44" s="23"/>
      <c r="K44" s="10"/>
      <c r="L44" s="10"/>
      <c r="M44" s="10"/>
      <c r="N44" s="10"/>
      <c r="O44" s="10"/>
      <c r="P44" s="10"/>
      <c r="Q44" s="10"/>
      <c r="R44" s="10"/>
      <c r="S44" s="10"/>
      <c r="T44" s="11"/>
    </row>
    <row r="45" spans="1:20">
      <c r="A45" s="22" t="s">
        <v>34</v>
      </c>
      <c r="B45" s="10"/>
      <c r="C45" s="10"/>
      <c r="D45" s="10"/>
      <c r="E45" s="10"/>
      <c r="F45" s="10"/>
      <c r="G45" s="10"/>
      <c r="H45" s="10"/>
      <c r="I45" s="10"/>
      <c r="J45" s="23"/>
      <c r="K45" s="10"/>
      <c r="L45" s="10"/>
      <c r="M45" s="10"/>
      <c r="N45" s="10"/>
      <c r="O45" s="10"/>
      <c r="P45" s="10"/>
      <c r="Q45" s="10"/>
      <c r="R45" s="10"/>
      <c r="S45" s="10"/>
      <c r="T45" s="11"/>
    </row>
    <row r="46" spans="1:20">
      <c r="A46" s="22" t="s">
        <v>35</v>
      </c>
      <c r="B46" s="10"/>
      <c r="C46" s="10"/>
      <c r="D46" s="10"/>
      <c r="E46" s="10"/>
      <c r="F46" s="10"/>
      <c r="G46" s="10"/>
      <c r="H46" s="10"/>
      <c r="I46" s="10"/>
      <c r="J46" s="23"/>
      <c r="K46" s="10"/>
      <c r="L46" s="10"/>
      <c r="M46" s="10"/>
      <c r="N46" s="10"/>
      <c r="O46" s="10"/>
      <c r="P46" s="10"/>
      <c r="Q46" s="10"/>
      <c r="R46" s="10"/>
      <c r="S46" s="10"/>
      <c r="T46" s="11"/>
    </row>
    <row r="47" spans="1:20">
      <c r="A47" s="22" t="s">
        <v>36</v>
      </c>
      <c r="B47" s="10"/>
      <c r="C47" s="10"/>
      <c r="D47" s="10"/>
      <c r="E47" s="10"/>
      <c r="F47" s="10"/>
      <c r="G47" s="10"/>
      <c r="H47" s="10"/>
      <c r="I47" s="10"/>
      <c r="J47" s="23"/>
      <c r="K47" s="10"/>
      <c r="L47" s="10"/>
      <c r="M47" s="10"/>
      <c r="N47" s="10"/>
      <c r="O47" s="10"/>
      <c r="P47" s="10"/>
      <c r="Q47" s="10"/>
      <c r="R47" s="10"/>
      <c r="S47" s="10"/>
      <c r="T47" s="11"/>
    </row>
    <row r="48" spans="1:20">
      <c r="A48" s="22" t="s">
        <v>37</v>
      </c>
      <c r="B48" s="10"/>
      <c r="C48" s="10"/>
      <c r="D48" s="10"/>
      <c r="E48" s="10"/>
      <c r="F48" s="10"/>
      <c r="G48" s="10"/>
      <c r="H48" s="10"/>
      <c r="I48" s="10"/>
      <c r="J48" s="23"/>
      <c r="K48" s="10"/>
      <c r="L48" s="10"/>
      <c r="M48" s="10"/>
      <c r="N48" s="10"/>
      <c r="O48" s="10"/>
      <c r="P48" s="10"/>
      <c r="Q48" s="10"/>
      <c r="R48" s="10"/>
      <c r="S48" s="10"/>
      <c r="T48" s="11"/>
    </row>
    <row r="49" spans="1:20">
      <c r="A49" s="22" t="s">
        <v>38</v>
      </c>
      <c r="B49" s="10"/>
      <c r="C49" s="10"/>
      <c r="D49" s="10"/>
      <c r="E49" s="10"/>
      <c r="F49" s="10"/>
      <c r="G49" s="10"/>
      <c r="H49" s="10"/>
      <c r="I49" s="10"/>
      <c r="J49" s="23"/>
      <c r="K49" s="10"/>
      <c r="L49" s="10"/>
      <c r="M49" s="10"/>
      <c r="N49" s="10"/>
      <c r="O49" s="10"/>
      <c r="P49" s="10"/>
      <c r="Q49" s="10"/>
      <c r="R49" s="10"/>
      <c r="S49" s="10"/>
      <c r="T49" s="11"/>
    </row>
    <row r="50" spans="1:20">
      <c r="A50" s="9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1"/>
    </row>
    <row r="51" spans="1:20" ht="16.8">
      <c r="A51" s="12" t="s">
        <v>39</v>
      </c>
      <c r="B51" s="10"/>
      <c r="C51" s="10"/>
      <c r="D51" s="10"/>
      <c r="E51" s="10"/>
      <c r="F51" s="10"/>
      <c r="G51" s="10"/>
      <c r="H51" s="10"/>
      <c r="I51" s="10"/>
      <c r="J51" s="13"/>
      <c r="K51" s="10"/>
      <c r="L51" s="10"/>
      <c r="M51" s="10"/>
      <c r="N51" s="10"/>
      <c r="O51" s="10"/>
      <c r="P51" s="10"/>
      <c r="Q51" s="10"/>
      <c r="R51" s="10"/>
      <c r="S51" s="10"/>
      <c r="T51" s="11"/>
    </row>
    <row r="52" spans="1:20">
      <c r="A52" s="20"/>
      <c r="B52" s="10"/>
      <c r="C52" s="10"/>
      <c r="D52" s="10"/>
      <c r="E52" s="10"/>
      <c r="F52" s="10"/>
      <c r="G52" s="10"/>
      <c r="H52" s="10"/>
      <c r="I52" s="10"/>
      <c r="J52" s="21"/>
      <c r="K52" s="10"/>
      <c r="L52" s="10"/>
      <c r="M52" s="10"/>
      <c r="N52" s="10"/>
      <c r="O52" s="10"/>
      <c r="P52" s="10"/>
      <c r="Q52" s="10"/>
      <c r="R52" s="10"/>
      <c r="S52" s="10"/>
      <c r="T52" s="11"/>
    </row>
    <row r="53" spans="1:20">
      <c r="A53" s="26"/>
      <c r="B53" s="10"/>
      <c r="C53" s="10"/>
      <c r="D53" s="10"/>
      <c r="E53" s="10"/>
      <c r="F53" s="10"/>
      <c r="G53" s="10"/>
      <c r="H53" s="10"/>
      <c r="I53" s="10"/>
      <c r="J53" s="27"/>
      <c r="K53" s="10"/>
      <c r="L53" s="10"/>
      <c r="M53" s="10"/>
      <c r="N53" s="10"/>
      <c r="O53" s="10"/>
      <c r="P53" s="10"/>
      <c r="Q53" s="10"/>
      <c r="R53" s="10"/>
      <c r="S53" s="10"/>
      <c r="T53" s="11"/>
    </row>
    <row r="54" spans="1:20">
      <c r="A54" s="9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1"/>
    </row>
    <row r="55" spans="1:20">
      <c r="A55" s="28"/>
      <c r="B55" s="10"/>
      <c r="C55" s="10"/>
      <c r="D55" s="10"/>
      <c r="E55" s="10"/>
      <c r="F55" s="10"/>
      <c r="G55" s="10"/>
      <c r="H55" s="10"/>
      <c r="I55" s="10"/>
      <c r="J55" s="29"/>
      <c r="K55" s="10"/>
      <c r="L55" s="10"/>
      <c r="M55" s="10"/>
      <c r="N55" s="10"/>
      <c r="O55" s="10"/>
      <c r="P55" s="10"/>
      <c r="Q55" s="10"/>
      <c r="R55" s="10"/>
      <c r="S55" s="10"/>
      <c r="T55" s="11"/>
    </row>
    <row r="56" spans="1:20">
      <c r="A56" s="28"/>
      <c r="B56" s="10"/>
      <c r="C56" s="10"/>
      <c r="D56" s="10"/>
      <c r="E56" s="10"/>
      <c r="F56" s="10"/>
      <c r="G56" s="10"/>
      <c r="H56" s="10"/>
      <c r="I56" s="10"/>
      <c r="J56" s="29"/>
      <c r="K56" s="10"/>
      <c r="L56" s="10"/>
      <c r="M56" s="10"/>
      <c r="N56" s="10"/>
      <c r="O56" s="10"/>
      <c r="P56" s="10"/>
      <c r="Q56" s="10"/>
      <c r="R56" s="10"/>
      <c r="S56" s="10"/>
      <c r="T56" s="11"/>
    </row>
    <row r="57" spans="1:20">
      <c r="A57" s="28"/>
      <c r="B57" s="10"/>
      <c r="C57" s="10"/>
      <c r="D57" s="10"/>
      <c r="E57" s="10"/>
      <c r="F57" s="10"/>
      <c r="G57" s="10"/>
      <c r="H57" s="10"/>
      <c r="I57" s="10"/>
      <c r="J57" s="29"/>
      <c r="K57" s="10"/>
      <c r="L57" s="10"/>
      <c r="M57" s="10"/>
      <c r="N57" s="10"/>
      <c r="O57" s="10"/>
      <c r="P57" s="10"/>
      <c r="Q57" s="10"/>
      <c r="R57" s="10"/>
      <c r="S57" s="10"/>
      <c r="T57" s="11"/>
    </row>
    <row r="58" spans="1:20">
      <c r="A58" s="20"/>
      <c r="B58" s="10"/>
      <c r="C58" s="10"/>
      <c r="D58" s="10"/>
      <c r="E58" s="10"/>
      <c r="F58" s="10"/>
      <c r="G58" s="10"/>
      <c r="H58" s="10"/>
      <c r="I58" s="10"/>
      <c r="J58" s="21"/>
      <c r="K58" s="10"/>
      <c r="L58" s="10"/>
      <c r="M58" s="10"/>
      <c r="N58" s="10"/>
      <c r="O58" s="10"/>
      <c r="P58" s="10"/>
      <c r="Q58" s="10"/>
      <c r="R58" s="10"/>
      <c r="S58" s="10"/>
      <c r="T58" s="11"/>
    </row>
    <row r="59" spans="1:20">
      <c r="A59" s="30"/>
      <c r="B59" s="10"/>
      <c r="C59" s="10"/>
      <c r="D59" s="10"/>
      <c r="E59" s="10"/>
      <c r="F59" s="10"/>
      <c r="G59" s="10"/>
      <c r="H59" s="10"/>
      <c r="I59" s="10"/>
      <c r="J59" s="31"/>
      <c r="K59" s="10"/>
      <c r="L59" s="10"/>
      <c r="M59" s="10"/>
      <c r="N59" s="10"/>
      <c r="O59" s="10"/>
      <c r="P59" s="10"/>
      <c r="Q59" s="10"/>
      <c r="R59" s="10"/>
      <c r="S59" s="10"/>
      <c r="T59" s="11"/>
    </row>
    <row r="60" spans="1:20">
      <c r="A60" s="20"/>
      <c r="B60" s="10"/>
      <c r="C60" s="10"/>
      <c r="D60" s="10"/>
      <c r="E60" s="10"/>
      <c r="F60" s="10"/>
      <c r="G60" s="10"/>
      <c r="H60" s="10"/>
      <c r="I60" s="10"/>
      <c r="J60" s="21"/>
      <c r="K60" s="10"/>
      <c r="L60" s="10"/>
      <c r="M60" s="10"/>
      <c r="N60" s="10"/>
      <c r="O60" s="10"/>
      <c r="P60" s="10"/>
      <c r="Q60" s="10"/>
      <c r="R60" s="10"/>
      <c r="S60" s="10"/>
      <c r="T60" s="11"/>
    </row>
    <row r="61" spans="1:20">
      <c r="A61" s="26"/>
      <c r="B61" s="10"/>
      <c r="C61" s="10"/>
      <c r="D61" s="10"/>
      <c r="E61" s="10"/>
      <c r="F61" s="10"/>
      <c r="G61" s="10"/>
      <c r="H61" s="10"/>
      <c r="I61" s="10"/>
      <c r="J61" s="27"/>
      <c r="K61" s="10"/>
      <c r="L61" s="10"/>
      <c r="M61" s="10"/>
      <c r="N61" s="10"/>
      <c r="O61" s="10"/>
      <c r="P61" s="10"/>
      <c r="Q61" s="10"/>
      <c r="R61" s="10"/>
      <c r="S61" s="10"/>
      <c r="T61" s="11"/>
    </row>
    <row r="62" spans="1:20">
      <c r="A62" s="9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1"/>
    </row>
    <row r="63" spans="1:20">
      <c r="A63" s="28"/>
      <c r="B63" s="10"/>
      <c r="C63" s="10"/>
      <c r="D63" s="10"/>
      <c r="E63" s="10"/>
      <c r="F63" s="10"/>
      <c r="G63" s="10"/>
      <c r="H63" s="10"/>
      <c r="I63" s="10"/>
      <c r="J63" s="29"/>
      <c r="K63" s="10"/>
      <c r="L63" s="10"/>
      <c r="M63" s="10"/>
      <c r="N63" s="10"/>
      <c r="O63" s="10"/>
      <c r="P63" s="10"/>
      <c r="Q63" s="10"/>
      <c r="R63" s="10"/>
      <c r="S63" s="10"/>
      <c r="T63" s="11"/>
    </row>
    <row r="64" spans="1:20">
      <c r="A64" s="28"/>
      <c r="B64" s="10"/>
      <c r="C64" s="10"/>
      <c r="D64" s="10"/>
      <c r="E64" s="10"/>
      <c r="F64" s="10"/>
      <c r="G64" s="10"/>
      <c r="H64" s="10"/>
      <c r="I64" s="10"/>
      <c r="J64" s="29"/>
      <c r="K64" s="10"/>
      <c r="L64" s="10"/>
      <c r="M64" s="10"/>
      <c r="N64" s="10"/>
      <c r="O64" s="10"/>
      <c r="P64" s="10"/>
      <c r="Q64" s="10"/>
      <c r="R64" s="10"/>
      <c r="S64" s="10"/>
      <c r="T64" s="11"/>
    </row>
    <row r="65" spans="1:20">
      <c r="A65" s="28"/>
      <c r="B65" s="10"/>
      <c r="C65" s="10"/>
      <c r="D65" s="10"/>
      <c r="E65" s="10"/>
      <c r="F65" s="10"/>
      <c r="G65" s="10"/>
      <c r="H65" s="10"/>
      <c r="I65" s="10"/>
      <c r="J65" s="29"/>
      <c r="K65" s="10"/>
      <c r="L65" s="10"/>
      <c r="M65" s="10"/>
      <c r="N65" s="10"/>
      <c r="O65" s="10"/>
      <c r="P65" s="10"/>
      <c r="Q65" s="10"/>
      <c r="R65" s="10"/>
      <c r="S65" s="10"/>
      <c r="T65" s="11"/>
    </row>
    <row r="66" spans="1:20">
      <c r="A66" s="20"/>
      <c r="B66" s="10"/>
      <c r="C66" s="10"/>
      <c r="D66" s="10"/>
      <c r="E66" s="10"/>
      <c r="F66" s="10"/>
      <c r="G66" s="10"/>
      <c r="H66" s="10"/>
      <c r="I66" s="10"/>
      <c r="J66" s="21"/>
      <c r="K66" s="10"/>
      <c r="L66" s="10"/>
      <c r="M66" s="10"/>
      <c r="N66" s="10"/>
      <c r="O66" s="10"/>
      <c r="P66" s="10"/>
      <c r="Q66" s="10"/>
      <c r="R66" s="10"/>
      <c r="S66" s="10"/>
      <c r="T66" s="11"/>
    </row>
    <row r="67" spans="1:20">
      <c r="A67" s="30"/>
      <c r="B67" s="10"/>
      <c r="C67" s="10"/>
      <c r="D67" s="10"/>
      <c r="E67" s="10"/>
      <c r="F67" s="10"/>
      <c r="G67" s="10"/>
      <c r="H67" s="10"/>
      <c r="I67" s="10"/>
      <c r="J67" s="31"/>
      <c r="K67" s="10"/>
      <c r="L67" s="10"/>
      <c r="M67" s="10"/>
      <c r="N67" s="10"/>
      <c r="O67" s="10"/>
      <c r="P67" s="10"/>
      <c r="Q67" s="10"/>
      <c r="R67" s="10"/>
      <c r="S67" s="10"/>
      <c r="T67" s="11"/>
    </row>
    <row r="68" spans="1:20">
      <c r="A68" s="20"/>
      <c r="B68" s="10"/>
      <c r="C68" s="10"/>
      <c r="D68" s="10"/>
      <c r="E68" s="10"/>
      <c r="F68" s="10"/>
      <c r="G68" s="10"/>
      <c r="H68" s="10"/>
      <c r="I68" s="10"/>
      <c r="J68" s="21"/>
      <c r="K68" s="10"/>
      <c r="L68" s="10"/>
      <c r="M68" s="10"/>
      <c r="N68" s="10"/>
      <c r="O68" s="10"/>
      <c r="P68" s="10"/>
      <c r="Q68" s="10"/>
      <c r="R68" s="10"/>
      <c r="S68" s="10"/>
      <c r="T68" s="11"/>
    </row>
    <row r="69" spans="1:20">
      <c r="A69" s="26"/>
      <c r="B69" s="10"/>
      <c r="C69" s="10"/>
      <c r="D69" s="10"/>
      <c r="E69" s="10"/>
      <c r="F69" s="10"/>
      <c r="G69" s="10"/>
      <c r="H69" s="10"/>
      <c r="I69" s="10"/>
      <c r="J69" s="27"/>
      <c r="K69" s="10"/>
      <c r="L69" s="10"/>
      <c r="M69" s="10"/>
      <c r="N69" s="10"/>
      <c r="O69" s="10"/>
      <c r="P69" s="10"/>
      <c r="Q69" s="10"/>
      <c r="R69" s="10"/>
      <c r="S69" s="10"/>
      <c r="T69" s="11"/>
    </row>
    <row r="70" spans="1:20">
      <c r="A70" s="9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1"/>
    </row>
    <row r="71" spans="1:20">
      <c r="A71" s="28"/>
      <c r="B71" s="10"/>
      <c r="C71" s="10"/>
      <c r="D71" s="10"/>
      <c r="E71" s="10"/>
      <c r="F71" s="10"/>
      <c r="G71" s="10"/>
      <c r="H71" s="10"/>
      <c r="I71" s="10"/>
      <c r="J71" s="29"/>
      <c r="K71" s="10"/>
      <c r="L71" s="10"/>
      <c r="M71" s="10"/>
      <c r="N71" s="10"/>
      <c r="O71" s="10"/>
      <c r="P71" s="10"/>
      <c r="Q71" s="10"/>
      <c r="R71" s="10"/>
      <c r="S71" s="10"/>
      <c r="T71" s="11"/>
    </row>
    <row r="72" spans="1:20">
      <c r="A72" s="28"/>
      <c r="B72" s="10"/>
      <c r="C72" s="10"/>
      <c r="D72" s="10"/>
      <c r="E72" s="10"/>
      <c r="F72" s="10"/>
      <c r="G72" s="10"/>
      <c r="H72" s="10"/>
      <c r="I72" s="10"/>
      <c r="J72" s="29"/>
      <c r="K72" s="10"/>
      <c r="L72" s="10"/>
      <c r="M72" s="10"/>
      <c r="N72" s="10"/>
      <c r="O72" s="10"/>
      <c r="P72" s="10"/>
      <c r="Q72" s="10"/>
      <c r="R72" s="10"/>
      <c r="S72" s="10"/>
      <c r="T72" s="11"/>
    </row>
    <row r="73" spans="1:20">
      <c r="A73" s="28"/>
      <c r="B73" s="10"/>
      <c r="C73" s="10"/>
      <c r="D73" s="10"/>
      <c r="E73" s="10"/>
      <c r="F73" s="10"/>
      <c r="G73" s="10"/>
      <c r="H73" s="10"/>
      <c r="I73" s="10"/>
      <c r="J73" s="29"/>
      <c r="K73" s="10"/>
      <c r="L73" s="10"/>
      <c r="M73" s="10"/>
      <c r="N73" s="10"/>
      <c r="O73" s="10"/>
      <c r="P73" s="10"/>
      <c r="Q73" s="10"/>
      <c r="R73" s="10"/>
      <c r="S73" s="10"/>
      <c r="T73" s="11"/>
    </row>
    <row r="74" spans="1:20">
      <c r="A74" s="20"/>
      <c r="B74" s="10"/>
      <c r="C74" s="10"/>
      <c r="D74" s="10"/>
      <c r="E74" s="10"/>
      <c r="F74" s="10"/>
      <c r="G74" s="10"/>
      <c r="H74" s="10"/>
      <c r="I74" s="10"/>
      <c r="J74" s="21"/>
      <c r="K74" s="10"/>
      <c r="L74" s="10"/>
      <c r="M74" s="10"/>
      <c r="N74" s="10"/>
      <c r="O74" s="10"/>
      <c r="P74" s="10"/>
      <c r="Q74" s="10"/>
      <c r="R74" s="10"/>
      <c r="S74" s="10"/>
      <c r="T74" s="11"/>
    </row>
    <row r="75" spans="1:20">
      <c r="A75" s="26"/>
      <c r="B75" s="10"/>
      <c r="C75" s="10"/>
      <c r="D75" s="10"/>
      <c r="E75" s="10"/>
      <c r="F75" s="10"/>
      <c r="G75" s="10"/>
      <c r="H75" s="10"/>
      <c r="I75" s="10"/>
      <c r="J75" s="27"/>
      <c r="K75" s="10"/>
      <c r="L75" s="10"/>
      <c r="M75" s="10"/>
      <c r="N75" s="10"/>
      <c r="O75" s="10"/>
      <c r="P75" s="10"/>
      <c r="Q75" s="10"/>
      <c r="R75" s="10"/>
      <c r="S75" s="10"/>
      <c r="T75" s="11"/>
    </row>
    <row r="76" spans="1:20">
      <c r="A76" s="9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1"/>
    </row>
    <row r="77" spans="1:20">
      <c r="A77" s="28"/>
      <c r="B77" s="10"/>
      <c r="C77" s="10"/>
      <c r="D77" s="10"/>
      <c r="E77" s="10"/>
      <c r="F77" s="10"/>
      <c r="G77" s="10"/>
      <c r="H77" s="10"/>
      <c r="I77" s="10"/>
      <c r="J77" s="29"/>
      <c r="K77" s="10"/>
      <c r="L77" s="10"/>
      <c r="M77" s="10"/>
      <c r="N77" s="10"/>
      <c r="O77" s="10"/>
      <c r="P77" s="10"/>
      <c r="Q77" s="10"/>
      <c r="R77" s="10"/>
      <c r="S77" s="10"/>
      <c r="T77" s="11"/>
    </row>
    <row r="78" spans="1:20">
      <c r="A78" s="28"/>
      <c r="B78" s="10"/>
      <c r="C78" s="10"/>
      <c r="D78" s="10"/>
      <c r="E78" s="10"/>
      <c r="F78" s="10"/>
      <c r="G78" s="10"/>
      <c r="H78" s="10"/>
      <c r="I78" s="10"/>
      <c r="J78" s="29"/>
      <c r="K78" s="10"/>
      <c r="L78" s="10"/>
      <c r="M78" s="10"/>
      <c r="N78" s="10"/>
      <c r="O78" s="10"/>
      <c r="P78" s="10"/>
      <c r="Q78" s="10"/>
      <c r="R78" s="10"/>
      <c r="S78" s="10"/>
      <c r="T78" s="11"/>
    </row>
    <row r="79" spans="1:20">
      <c r="A79" s="28"/>
      <c r="B79" s="10"/>
      <c r="C79" s="10"/>
      <c r="D79" s="10"/>
      <c r="E79" s="10"/>
      <c r="F79" s="10"/>
      <c r="G79" s="10"/>
      <c r="H79" s="10"/>
      <c r="I79" s="10"/>
      <c r="J79" s="29"/>
      <c r="K79" s="10"/>
      <c r="L79" s="10"/>
      <c r="M79" s="10"/>
      <c r="N79" s="10"/>
      <c r="O79" s="10"/>
      <c r="P79" s="10"/>
      <c r="Q79" s="10"/>
      <c r="R79" s="10"/>
      <c r="S79" s="10"/>
      <c r="T79" s="11"/>
    </row>
    <row r="80" spans="1:20">
      <c r="A80" s="9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1"/>
    </row>
    <row r="81" spans="1:20" ht="16.8">
      <c r="A81" s="12"/>
      <c r="B81" s="10"/>
      <c r="C81" s="10"/>
      <c r="D81" s="10"/>
      <c r="E81" s="10"/>
      <c r="F81" s="10"/>
      <c r="G81" s="10"/>
      <c r="H81" s="10"/>
      <c r="I81" s="10"/>
      <c r="J81" s="13"/>
      <c r="K81" s="10"/>
      <c r="L81" s="10"/>
      <c r="M81" s="10"/>
      <c r="N81" s="10"/>
      <c r="O81" s="10"/>
      <c r="P81" s="10"/>
      <c r="Q81" s="10"/>
      <c r="R81" s="10"/>
      <c r="S81" s="10"/>
      <c r="T81" s="11"/>
    </row>
    <row r="82" spans="1:20" ht="16.8">
      <c r="A82" s="12" t="s">
        <v>40</v>
      </c>
      <c r="B82" s="10"/>
      <c r="C82" s="10"/>
      <c r="D82" s="10"/>
      <c r="E82" s="10"/>
      <c r="F82" s="10"/>
      <c r="G82" s="10"/>
      <c r="H82" s="10"/>
      <c r="I82" s="10"/>
      <c r="J82" s="21"/>
      <c r="K82" s="10"/>
      <c r="L82" s="10"/>
      <c r="M82" s="10"/>
      <c r="N82" s="10"/>
      <c r="O82" s="10"/>
      <c r="P82" s="10"/>
      <c r="Q82" s="10"/>
      <c r="R82" s="10"/>
      <c r="S82" s="10"/>
      <c r="T82" s="11"/>
    </row>
    <row r="83" spans="1:20">
      <c r="A83" s="20"/>
      <c r="B83" s="10"/>
      <c r="C83" s="10"/>
      <c r="D83" s="10"/>
      <c r="E83" s="10"/>
      <c r="F83" s="10"/>
      <c r="G83" s="10"/>
      <c r="H83" s="10"/>
      <c r="I83" s="10"/>
      <c r="J83" s="31"/>
      <c r="K83" s="10"/>
      <c r="L83" s="10"/>
      <c r="M83" s="10"/>
      <c r="N83" s="10"/>
      <c r="O83" s="10"/>
      <c r="P83" s="10"/>
      <c r="Q83" s="10"/>
      <c r="R83" s="10"/>
      <c r="S83" s="10"/>
      <c r="T83" s="11"/>
    </row>
    <row r="84" spans="1:20">
      <c r="A84" s="30" t="s">
        <v>41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1"/>
    </row>
    <row r="85" spans="1:20">
      <c r="A85" s="30" t="s">
        <v>42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1"/>
    </row>
    <row r="86" spans="1:20">
      <c r="A86" s="30" t="s">
        <v>43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1"/>
    </row>
    <row r="87" spans="1:20">
      <c r="A87" s="9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1"/>
    </row>
    <row r="88" spans="1:20" ht="16.8">
      <c r="A88" s="12" t="s">
        <v>44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1"/>
    </row>
    <row r="89" spans="1:20">
      <c r="A89" s="2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1"/>
    </row>
    <row r="90" spans="1:20">
      <c r="A90" s="26" t="s">
        <v>45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1"/>
    </row>
    <row r="91" spans="1:20">
      <c r="A91" s="26" t="s">
        <v>46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1"/>
    </row>
    <row r="92" spans="1:20">
      <c r="A92" s="2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1"/>
    </row>
    <row r="93" spans="1:20">
      <c r="A93" s="26" t="s">
        <v>47</v>
      </c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1"/>
    </row>
    <row r="94" spans="1:20">
      <c r="A94" s="26" t="s">
        <v>48</v>
      </c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1"/>
    </row>
    <row r="95" spans="1:20">
      <c r="A95" s="9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1"/>
    </row>
    <row r="96" spans="1:20" ht="16.8">
      <c r="A96" s="12" t="s">
        <v>49</v>
      </c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1"/>
    </row>
    <row r="97" spans="1:20">
      <c r="A97" s="9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1"/>
    </row>
    <row r="98" spans="1:20">
      <c r="A98" s="14" t="s">
        <v>50</v>
      </c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1"/>
    </row>
    <row r="99" spans="1:20">
      <c r="A99" s="14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1"/>
    </row>
    <row r="100" spans="1:20">
      <c r="A100" s="14" t="s">
        <v>51</v>
      </c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1"/>
    </row>
    <row r="101" spans="1:20">
      <c r="A101" s="14" t="s">
        <v>52</v>
      </c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1"/>
    </row>
    <row r="102" spans="1:20">
      <c r="A102" s="34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00C-34D9-4B58-BF1C-FD91D6AB20C3}">
  <sheetPr codeName="Sheet10"/>
  <dimension ref="A1"/>
  <sheetViews>
    <sheetView showGridLines="0" topLeftCell="A37" workbookViewId="0">
      <selection activeCell="L19" sqref="L19"/>
    </sheetView>
  </sheetViews>
  <sheetFormatPr defaultRowHeight="14.1"/>
  <sheetData/>
  <phoneticPr fontId="9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计算例子</vt:lpstr>
      <vt:lpstr>帮助说明</vt:lpstr>
      <vt:lpstr>数学模型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songlin huang</dc:creator>
  <cp:lastModifiedBy>songlin huang</cp:lastModifiedBy>
  <dcterms:created xsi:type="dcterms:W3CDTF">2023-05-12T11:15:00Z</dcterms:created>
  <dcterms:modified xsi:type="dcterms:W3CDTF">2024-09-22T13:30:32Z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